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iste_des_taches" sheetId="1" state="visible" r:id="rId3"/>
    <sheet name="Avancement_projet" sheetId="2" state="visible" r:id="rId4"/>
    <sheet name="Detail" sheetId="3" state="visible" r:id="rId5"/>
    <sheet name="Rec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<sst xmlns="http://schemas.openxmlformats.org/spreadsheetml/2006/main" count="52" uniqueCount="40">
  <si>
    <t xml:space="preserve">Ligne</t>
  </si>
  <si>
    <t xml:space="preserve">Nom page</t>
  </si>
  <si>
    <t xml:space="preserve">Description</t>
  </si>
  <si>
    <t xml:space="preserve">Type</t>
  </si>
  <si>
    <t xml:space="preserve">Estimation (min)</t>
  </si>
  <si>
    <t xml:space="preserve">Temps passé</t>
  </si>
  <si>
    <t xml:space="preserve">Reste à faire</t>
  </si>
  <si>
    <t xml:space="preserve">Avancement</t>
  </si>
  <si>
    <t xml:space="preserve">Qui</t>
  </si>
  <si>
    <t xml:space="preserve">Status</t>
  </si>
  <si>
    <t xml:space="preserve">base.sql</t>
  </si>
  <si>
    <t xml:space="preserve">creation de la base de donnee </t>
  </si>
  <si>
    <t xml:space="preserve">sql </t>
  </si>
  <si>
    <t xml:space="preserve">Rova 3903</t>
  </si>
  <si>
    <t xml:space="preserve">dashboard.php</t>
  </si>
  <si>
    <t xml:space="preserve">dashboard principal de l application </t>
  </si>
  <si>
    <t xml:space="preserve">viiew</t>
  </si>
  <si>
    <t xml:space="preserve">Rova 3883</t>
  </si>
  <si>
    <t xml:space="preserve">Ville.php</t>
  </si>
  <si>
    <t xml:space="preserve">model</t>
  </si>
  <si>
    <t xml:space="preserve">model/entity</t>
  </si>
  <si>
    <t xml:space="preserve">Besoin.php</t>
  </si>
  <si>
    <t xml:space="preserve">Dispath.php</t>
  </si>
  <si>
    <t xml:space="preserve">Don.php</t>
  </si>
  <si>
    <t xml:space="preserve">VilleControlleur.php</t>
  </si>
  <si>
    <t xml:space="preserve">controlleur des model</t>
  </si>
  <si>
    <t xml:space="preserve">controlleur</t>
  </si>
  <si>
    <t xml:space="preserve">Nomena</t>
  </si>
  <si>
    <t xml:space="preserve">DipathControlleur.php</t>
  </si>
  <si>
    <t xml:space="preserve">DonControlleur.php</t>
  </si>
  <si>
    <t xml:space="preserve">BesoinControlleur.php</t>
  </si>
  <si>
    <t xml:space="preserve">Estimation total</t>
  </si>
  <si>
    <t xml:space="preserve">Total heures</t>
  </si>
  <si>
    <t xml:space="preserve">Dépassement</t>
  </si>
  <si>
    <t xml:space="preserve">Total</t>
  </si>
  <si>
    <t xml:space="preserve">16/02</t>
  </si>
  <si>
    <t xml:space="preserve">17/02</t>
  </si>
  <si>
    <t xml:space="preserve">Pourcentage</t>
  </si>
  <si>
    <t xml:space="preserve">Somme de Estimation</t>
  </si>
  <si>
    <t xml:space="preserve">Rova 3901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</si>
</sst>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\ %"/>
    <numFmt numFmtId="166" formatCode="General"/>
    <numFmt numFmtId="167" formatCode="0"/>
    <numFmt numFmtId="168" formatCode="0.00\ %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C7CE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4" activeCellId="0" sqref="J4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18"/>
    <col collapsed="false" customWidth="true" hidden="false" outlineLevel="0" max="5" min="5" style="0" width="17.57"/>
    <col collapsed="false" customWidth="true" hidden="false" outlineLevel="0" max="7" min="6" style="0" width="15"/>
    <col collapsed="false" customWidth="true" hidden="false" outlineLevel="0" max="10" min="8" style="0" width="12"/>
    <col collapsed="false" customWidth="true" hidden="false" outlineLevel="0" max="16384" min="16382" style="0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2" t="n">
        <v>1</v>
      </c>
      <c r="B2" s="3" t="s">
        <v>10</v>
      </c>
      <c r="C2" s="3" t="s">
        <v>11</v>
      </c>
      <c r="D2" s="3" t="s">
        <v>12</v>
      </c>
      <c r="E2" s="4" t="n">
        <v>10</v>
      </c>
      <c r="F2" s="4" t="n">
        <v>0</v>
      </c>
      <c r="G2" s="4" t="n">
        <f aca="false">(E2-F2)</f>
        <v>10</v>
      </c>
      <c r="H2" s="5" t="n">
        <f aca="false">IF(E2&gt;0,F2/E2,0)</f>
        <v>0</v>
      </c>
      <c r="I2" s="6" t="s">
        <v>13</v>
      </c>
      <c r="J2" s="2" t="str">
        <f aca="false">IF(H2=100%,"termine","à faire")</f>
        <v>à faire</v>
      </c>
    </row>
    <row r="3" customFormat="false" ht="14.25" hidden="false" customHeight="false" outlineLevel="0" collapsed="false">
      <c r="A3" s="2" t="n">
        <v>2</v>
      </c>
      <c r="B3" s="3" t="s">
        <v>14</v>
      </c>
      <c r="C3" s="3" t="s">
        <v>15</v>
      </c>
      <c r="D3" s="3" t="s">
        <v>16</v>
      </c>
      <c r="E3" s="4" t="n">
        <v>60</v>
      </c>
      <c r="F3" s="4" t="n">
        <v>0</v>
      </c>
      <c r="G3" s="4" t="n">
        <f aca="false">(E3-F3)</f>
        <v>60</v>
      </c>
      <c r="H3" s="5" t="n">
        <f aca="false">IF(E3&gt;0,F3/E3,0)</f>
        <v>0</v>
      </c>
      <c r="I3" s="6" t="s">
        <v>17</v>
      </c>
      <c r="J3" s="2" t="str">
        <f aca="false">IF(H3=100%,"termine","à faire")</f>
        <v>à faire</v>
      </c>
    </row>
    <row r="4" customFormat="false" ht="14.25" hidden="false" customHeight="false" outlineLevel="0" collapsed="false">
      <c r="A4" s="2" t="n">
        <v>3</v>
      </c>
      <c r="B4" s="3" t="s">
        <v>18</v>
      </c>
      <c r="C4" s="3" t="s">
        <v>19</v>
      </c>
      <c r="D4" s="3" t="s">
        <v>20</v>
      </c>
      <c r="E4" s="4" t="n">
        <v>10</v>
      </c>
      <c r="F4" s="4" t="n">
        <v>0</v>
      </c>
      <c r="G4" s="4"/>
      <c r="H4" s="5" t="n">
        <f aca="false">IF(E4&gt;0,F4/E4,0)</f>
        <v>0</v>
      </c>
      <c r="I4" s="6" t="s">
        <v>13</v>
      </c>
      <c r="J4" s="7" t="str">
        <f aca="false">IF(H4=100%,"termine","à faire")</f>
        <v>à faire</v>
      </c>
    </row>
    <row r="5" customFormat="false" ht="14.25" hidden="false" customHeight="false" outlineLevel="0" collapsed="false">
      <c r="A5" s="2" t="n">
        <v>4</v>
      </c>
      <c r="B5" s="3" t="s">
        <v>21</v>
      </c>
      <c r="C5" s="3"/>
      <c r="D5" s="3"/>
      <c r="E5" s="4"/>
      <c r="F5" s="4"/>
      <c r="G5" s="4"/>
      <c r="H5" s="5" t="n">
        <f aca="false">IF(E5&gt;0,F5/E5,0)</f>
        <v>0</v>
      </c>
      <c r="I5" s="6"/>
      <c r="J5" s="7"/>
    </row>
    <row r="6" customFormat="false" ht="14.25" hidden="false" customHeight="false" outlineLevel="0" collapsed="false">
      <c r="A6" s="2" t="n">
        <v>5</v>
      </c>
      <c r="B6" s="3" t="s">
        <v>22</v>
      </c>
      <c r="C6" s="3"/>
      <c r="D6" s="3"/>
      <c r="E6" s="4"/>
      <c r="F6" s="4"/>
      <c r="G6" s="4"/>
      <c r="H6" s="5" t="n">
        <f aca="false">IF(E6&gt;0,F6/E6,0)</f>
        <v>0</v>
      </c>
      <c r="I6" s="6"/>
      <c r="J6" s="7"/>
    </row>
    <row r="7" customFormat="false" ht="14.25" hidden="false" customHeight="false" outlineLevel="0" collapsed="false">
      <c r="A7" s="2" t="n">
        <v>6</v>
      </c>
      <c r="B7" s="3" t="s">
        <v>23</v>
      </c>
      <c r="C7" s="3"/>
      <c r="D7" s="3"/>
      <c r="E7" s="4"/>
      <c r="F7" s="4"/>
      <c r="G7" s="4"/>
      <c r="H7" s="5" t="n">
        <f aca="false">IF(E7&gt;0,F7/E7,0)</f>
        <v>0</v>
      </c>
      <c r="I7" s="6"/>
      <c r="J7" s="7"/>
    </row>
    <row r="8" customFormat="false" ht="14.25" hidden="false" customHeight="false" outlineLevel="0" collapsed="false">
      <c r="A8" s="2" t="n">
        <v>7</v>
      </c>
      <c r="B8" s="3" t="s">
        <v>21</v>
      </c>
      <c r="C8" s="3"/>
      <c r="D8" s="3"/>
      <c r="E8" s="4"/>
      <c r="F8" s="4"/>
      <c r="G8" s="4"/>
      <c r="H8" s="5" t="n">
        <f aca="false">IF(E8&gt;0,F8/E8,0)</f>
        <v>0</v>
      </c>
      <c r="I8" s="6"/>
      <c r="J8" s="7"/>
    </row>
    <row r="9" customFormat="false" ht="14.25" hidden="false" customHeight="false" outlineLevel="0" collapsed="false">
      <c r="A9" s="2" t="n">
        <v>8</v>
      </c>
      <c r="B9" s="3" t="s">
        <v>24</v>
      </c>
      <c r="C9" s="3" t="s">
        <v>25</v>
      </c>
      <c r="D9" s="3" t="s">
        <v>26</v>
      </c>
      <c r="E9" s="4" t="n">
        <v>20</v>
      </c>
      <c r="F9" s="4"/>
      <c r="G9" s="4"/>
      <c r="H9" s="5" t="n">
        <f aca="false">IF(E9&gt;0,F9/E9,0)</f>
        <v>0</v>
      </c>
      <c r="I9" s="8" t="s">
        <v>27</v>
      </c>
      <c r="J9" s="7" t="str">
        <f aca="false">IF(H9=100%,"termine","à faire")</f>
        <v>à faire</v>
      </c>
    </row>
    <row r="10" customFormat="false" ht="14.25" hidden="false" customHeight="false" outlineLevel="0" collapsed="false">
      <c r="A10" s="2" t="n">
        <v>9</v>
      </c>
      <c r="B10" s="3" t="s">
        <v>28</v>
      </c>
      <c r="C10" s="3"/>
      <c r="D10" s="3"/>
      <c r="E10" s="4"/>
      <c r="F10" s="4"/>
      <c r="G10" s="4"/>
      <c r="H10" s="5"/>
      <c r="I10" s="8"/>
      <c r="J10" s="7"/>
    </row>
    <row r="11" customFormat="false" ht="14.25" hidden="false" customHeight="false" outlineLevel="0" collapsed="false">
      <c r="A11" s="2" t="n">
        <v>10</v>
      </c>
      <c r="B11" s="3" t="s">
        <v>29</v>
      </c>
      <c r="C11" s="3"/>
      <c r="D11" s="3"/>
      <c r="E11" s="4"/>
      <c r="F11" s="4"/>
      <c r="G11" s="4"/>
      <c r="H11" s="5"/>
      <c r="I11" s="8"/>
      <c r="J11" s="7"/>
    </row>
    <row r="12" customFormat="false" ht="14.25" hidden="false" customHeight="false" outlineLevel="0" collapsed="false">
      <c r="A12" s="2" t="n">
        <v>11</v>
      </c>
      <c r="B12" s="3" t="s">
        <v>30</v>
      </c>
      <c r="C12" s="3"/>
      <c r="D12" s="3"/>
      <c r="E12" s="4"/>
      <c r="F12" s="4"/>
      <c r="G12" s="4"/>
      <c r="H12" s="5"/>
      <c r="I12" s="8"/>
      <c r="J12" s="7"/>
    </row>
    <row r="13" customFormat="false" ht="14.25" hidden="false" customHeight="false" outlineLevel="0" collapsed="false">
      <c r="A13" s="2" t="n">
        <v>12</v>
      </c>
      <c r="B13" s="3"/>
      <c r="C13" s="3"/>
      <c r="D13" s="3"/>
      <c r="E13" s="4"/>
      <c r="F13" s="4"/>
      <c r="G13" s="4"/>
      <c r="H13" s="5" t="n">
        <f aca="false">IF(E13&gt;0,F13/E13,0)</f>
        <v>0</v>
      </c>
      <c r="I13" s="6"/>
      <c r="J13" s="2"/>
    </row>
    <row r="14" customFormat="false" ht="14.25" hidden="false" customHeight="false" outlineLevel="0" collapsed="false">
      <c r="A14" s="2" t="n">
        <v>13</v>
      </c>
      <c r="B14" s="3"/>
      <c r="C14" s="3"/>
      <c r="D14" s="3"/>
      <c r="E14" s="4"/>
      <c r="F14" s="4"/>
      <c r="G14" s="4"/>
      <c r="H14" s="5" t="n">
        <f aca="false">IF(E14&gt;0,F14/E14,0)</f>
        <v>0</v>
      </c>
      <c r="I14" s="6"/>
      <c r="J14" s="2"/>
    </row>
    <row r="15" customFormat="false" ht="14.25" hidden="false" customHeight="false" outlineLevel="0" collapsed="false">
      <c r="A15" s="2" t="n">
        <v>14</v>
      </c>
      <c r="B15" s="3"/>
      <c r="C15" s="3"/>
      <c r="D15" s="3"/>
      <c r="E15" s="4"/>
      <c r="F15" s="4"/>
      <c r="G15" s="4"/>
      <c r="H15" s="5" t="n">
        <f aca="false">IF(E15&gt;0,F15/E15,0)</f>
        <v>0</v>
      </c>
      <c r="I15" s="6"/>
      <c r="J15" s="2"/>
    </row>
    <row r="16" customFormat="false" ht="14.25" hidden="false" customHeight="false" outlineLevel="0" collapsed="false">
      <c r="A16" s="2" t="n">
        <v>15</v>
      </c>
      <c r="B16" s="3"/>
      <c r="C16" s="3"/>
      <c r="D16" s="3"/>
      <c r="E16" s="4"/>
      <c r="F16" s="4"/>
      <c r="G16" s="4"/>
      <c r="H16" s="5" t="n">
        <f aca="false">IF(E16&gt;0,F16/E16,0)</f>
        <v>0</v>
      </c>
      <c r="I16" s="6"/>
      <c r="J16" s="2"/>
    </row>
    <row r="17" customFormat="false" ht="14.25" hidden="false" customHeight="false" outlineLevel="0" collapsed="false">
      <c r="A17" s="2" t="n">
        <v>16</v>
      </c>
      <c r="B17" s="3"/>
      <c r="C17" s="3"/>
      <c r="D17" s="3"/>
      <c r="E17" s="4"/>
      <c r="F17" s="4"/>
      <c r="G17" s="4"/>
      <c r="H17" s="5" t="n">
        <f aca="false">IF(E17&gt;0,F17/E17,0)</f>
        <v>0</v>
      </c>
      <c r="I17" s="6"/>
      <c r="J17" s="2"/>
    </row>
    <row r="18" customFormat="false" ht="14.25" hidden="false" customHeight="false" outlineLevel="0" collapsed="false">
      <c r="A18" s="2" t="n">
        <v>17</v>
      </c>
      <c r="B18" s="3"/>
      <c r="C18" s="3"/>
      <c r="D18" s="3"/>
      <c r="E18" s="4"/>
      <c r="F18" s="4"/>
      <c r="G18" s="4"/>
      <c r="H18" s="5" t="n">
        <f aca="false">IF(E18&gt;0,F18/E18,0)</f>
        <v>0</v>
      </c>
      <c r="I18" s="6"/>
      <c r="J18" s="2"/>
    </row>
    <row r="19" customFormat="false" ht="14.25" hidden="false" customHeight="false" outlineLevel="0" collapsed="false">
      <c r="A19" s="2" t="n">
        <v>18</v>
      </c>
      <c r="B19" s="3"/>
      <c r="C19" s="3"/>
      <c r="D19" s="3"/>
      <c r="E19" s="4"/>
      <c r="F19" s="4"/>
      <c r="G19" s="4"/>
      <c r="H19" s="5" t="n">
        <f aca="false">IF(E19&gt;0,F19/E19,0)</f>
        <v>0</v>
      </c>
      <c r="I19" s="6"/>
      <c r="J19" s="2"/>
    </row>
    <row r="20" customFormat="false" ht="14.25" hidden="false" customHeight="false" outlineLevel="0" collapsed="false">
      <c r="A20" s="2" t="n">
        <v>19</v>
      </c>
      <c r="B20" s="3"/>
      <c r="C20" s="3"/>
      <c r="D20" s="3"/>
      <c r="E20" s="4"/>
      <c r="F20" s="4"/>
      <c r="G20" s="4"/>
      <c r="H20" s="5" t="n">
        <f aca="false">IF(E20&gt;0,F20/E20,0)</f>
        <v>0</v>
      </c>
      <c r="I20" s="6"/>
      <c r="J20" s="2"/>
    </row>
    <row r="21" customFormat="false" ht="14.25" hidden="false" customHeight="false" outlineLevel="0" collapsed="false">
      <c r="A21" s="2" t="n">
        <v>20</v>
      </c>
      <c r="B21" s="3"/>
      <c r="C21" s="3"/>
      <c r="D21" s="3"/>
      <c r="E21" s="4"/>
      <c r="F21" s="4"/>
      <c r="G21" s="4"/>
      <c r="H21" s="5" t="n">
        <f aca="false">IF(E21&gt;0,F21/E21,0)</f>
        <v>0</v>
      </c>
      <c r="I21" s="6"/>
      <c r="J21" s="2"/>
    </row>
    <row r="22" customFormat="false" ht="14.25" hidden="false" customHeight="false" outlineLevel="0" collapsed="false">
      <c r="A22" s="2" t="n">
        <v>21</v>
      </c>
      <c r="B22" s="3"/>
      <c r="C22" s="3"/>
      <c r="D22" s="3"/>
      <c r="E22" s="4"/>
      <c r="F22" s="4"/>
      <c r="G22" s="4"/>
      <c r="H22" s="5" t="n">
        <f aca="false">IF(E22&gt;0,F22/E22,0)</f>
        <v>0</v>
      </c>
      <c r="I22" s="6"/>
      <c r="J22" s="2"/>
    </row>
    <row r="23" customFormat="false" ht="14.25" hidden="false" customHeight="false" outlineLevel="0" collapsed="false">
      <c r="A23" s="2" t="n">
        <v>22</v>
      </c>
      <c r="B23" s="3"/>
      <c r="C23" s="3"/>
      <c r="D23" s="3"/>
      <c r="E23" s="4"/>
      <c r="F23" s="4"/>
      <c r="G23" s="4"/>
      <c r="H23" s="5" t="n">
        <f aca="false">IF(E23&gt;0,F23/E23,0)</f>
        <v>0</v>
      </c>
      <c r="I23" s="6"/>
      <c r="J23" s="2"/>
    </row>
    <row r="24" customFormat="false" ht="14.25" hidden="false" customHeight="false" outlineLevel="0" collapsed="false">
      <c r="A24" s="2" t="n">
        <v>23</v>
      </c>
      <c r="B24" s="3"/>
      <c r="C24" s="3"/>
      <c r="D24" s="3"/>
      <c r="E24" s="4"/>
      <c r="F24" s="4"/>
      <c r="G24" s="4"/>
      <c r="H24" s="5" t="n">
        <f aca="false">IF(E24&gt;0,F24/E24,0)</f>
        <v>0</v>
      </c>
      <c r="I24" s="8"/>
      <c r="J24" s="2"/>
    </row>
    <row r="25" customFormat="false" ht="14.25" hidden="false" customHeight="false" outlineLevel="0" collapsed="false">
      <c r="A25" s="2" t="n">
        <v>24</v>
      </c>
      <c r="B25" s="3"/>
      <c r="C25" s="3"/>
      <c r="D25" s="3"/>
      <c r="E25" s="4"/>
      <c r="F25" s="4"/>
      <c r="G25" s="4"/>
      <c r="H25" s="5" t="n">
        <f aca="false">IF(E25&gt;0,F25/E25,0)</f>
        <v>0</v>
      </c>
      <c r="I25" s="8"/>
      <c r="J25" s="2"/>
    </row>
    <row r="26" customFormat="false" ht="14.25" hidden="false" customHeight="false" outlineLevel="0" collapsed="false">
      <c r="A26" s="2" t="n">
        <v>25</v>
      </c>
      <c r="B26" s="3"/>
      <c r="C26" s="3"/>
      <c r="D26" s="3"/>
      <c r="E26" s="4"/>
      <c r="F26" s="4"/>
      <c r="G26" s="4"/>
      <c r="H26" s="5" t="n">
        <f aca="false">IF(E26&gt;0,F26/E26,0)</f>
        <v>0</v>
      </c>
      <c r="I26" s="8"/>
      <c r="J26" s="2"/>
    </row>
    <row r="27" customFormat="false" ht="14.25" hidden="false" customHeight="false" outlineLevel="0" collapsed="false">
      <c r="A27" s="2" t="n">
        <v>26</v>
      </c>
      <c r="B27" s="3"/>
      <c r="C27" s="3"/>
      <c r="D27" s="3"/>
      <c r="E27" s="4"/>
      <c r="F27" s="4"/>
      <c r="G27" s="4"/>
      <c r="H27" s="5" t="n">
        <f aca="false">IF(E27&gt;0,F27/E27,0)</f>
        <v>0</v>
      </c>
      <c r="I27" s="8"/>
      <c r="J27" s="2"/>
    </row>
    <row r="28" customFormat="false" ht="14.25" hidden="false" customHeight="false" outlineLevel="0" collapsed="false">
      <c r="A28" s="2" t="n">
        <v>27</v>
      </c>
      <c r="B28" s="3"/>
      <c r="C28" s="3"/>
      <c r="D28" s="3"/>
      <c r="E28" s="4"/>
      <c r="F28" s="4"/>
      <c r="G28" s="4"/>
      <c r="H28" s="5" t="n">
        <f aca="false">IF(E28&gt;0,F28/E28,0)</f>
        <v>0</v>
      </c>
      <c r="I28" s="8"/>
      <c r="J28" s="2"/>
    </row>
    <row r="29" customFormat="false" ht="14.25" hidden="false" customHeight="false" outlineLevel="0" collapsed="false">
      <c r="A29" s="2" t="n">
        <v>28</v>
      </c>
      <c r="B29" s="3"/>
      <c r="C29" s="3"/>
      <c r="D29" s="3"/>
      <c r="E29" s="4"/>
      <c r="F29" s="4"/>
      <c r="G29" s="4"/>
      <c r="H29" s="5" t="n">
        <f aca="false">IF(E29&gt;0,F29/E29,0)</f>
        <v>0</v>
      </c>
      <c r="I29" s="8"/>
      <c r="J29" s="2"/>
    </row>
    <row r="30" customFormat="false" ht="14.25" hidden="false" customHeight="false" outlineLevel="0" collapsed="false">
      <c r="A30" s="2" t="n">
        <v>29</v>
      </c>
      <c r="B30" s="3"/>
      <c r="C30" s="3"/>
      <c r="D30" s="3"/>
      <c r="E30" s="4"/>
      <c r="F30" s="4"/>
      <c r="G30" s="4"/>
      <c r="H30" s="5" t="n">
        <f aca="false">IF(E30&gt;0,F30/E30,0)</f>
        <v>0</v>
      </c>
      <c r="I30" s="8"/>
      <c r="J30" s="2"/>
    </row>
    <row r="31" customFormat="false" ht="14.25" hidden="false" customHeight="false" outlineLevel="0" collapsed="false">
      <c r="A31" s="2" t="n">
        <v>30</v>
      </c>
      <c r="B31" s="3"/>
      <c r="C31" s="3"/>
      <c r="D31" s="3"/>
      <c r="E31" s="4"/>
      <c r="F31" s="4"/>
      <c r="G31" s="4"/>
      <c r="H31" s="5" t="n">
        <f aca="false">IF(E31&gt;0,F31/E31,0)</f>
        <v>0</v>
      </c>
      <c r="I31" s="8"/>
      <c r="J31" s="2"/>
    </row>
    <row r="32" customFormat="false" ht="14.25" hidden="false" customHeight="false" outlineLevel="0" collapsed="false">
      <c r="A32" s="2" t="n">
        <v>31</v>
      </c>
      <c r="B32" s="3"/>
      <c r="C32" s="3"/>
      <c r="D32" s="3"/>
      <c r="E32" s="4"/>
      <c r="F32" s="4"/>
      <c r="G32" s="4"/>
      <c r="H32" s="5" t="n">
        <f aca="false">IF(E32&gt;0,F32/E32,0)</f>
        <v>0</v>
      </c>
      <c r="I32" s="6"/>
      <c r="J32" s="2"/>
    </row>
    <row r="33" customFormat="false" ht="14.25" hidden="false" customHeight="false" outlineLevel="0" collapsed="false">
      <c r="A33" s="2" t="n">
        <v>32</v>
      </c>
      <c r="B33" s="3"/>
      <c r="C33" s="3"/>
      <c r="D33" s="3"/>
      <c r="E33" s="4"/>
      <c r="F33" s="4"/>
      <c r="G33" s="4"/>
      <c r="H33" s="5" t="n">
        <f aca="false">IF(E33&gt;0,F33/E33,0)</f>
        <v>0</v>
      </c>
      <c r="I33" s="6"/>
      <c r="J33" s="2"/>
    </row>
    <row r="34" customFormat="false" ht="14.25" hidden="false" customHeight="false" outlineLevel="0" collapsed="false">
      <c r="A34" s="2" t="n">
        <v>33</v>
      </c>
      <c r="B34" s="3"/>
      <c r="C34" s="3"/>
      <c r="D34" s="3"/>
      <c r="E34" s="4"/>
      <c r="F34" s="4"/>
      <c r="G34" s="4"/>
      <c r="H34" s="5" t="n">
        <f aca="false">IF(E34&gt;0,F34/E34,0)</f>
        <v>0</v>
      </c>
      <c r="I34" s="6"/>
      <c r="J34" s="2"/>
    </row>
    <row r="35" customFormat="false" ht="14.25" hidden="false" customHeight="false" outlineLevel="0" collapsed="false">
      <c r="A35" s="2" t="n">
        <v>34</v>
      </c>
      <c r="B35" s="3"/>
      <c r="C35" s="3"/>
      <c r="D35" s="3"/>
      <c r="E35" s="4"/>
      <c r="F35" s="4"/>
      <c r="G35" s="4"/>
      <c r="H35" s="5" t="n">
        <f aca="false">IF(E35&gt;0,F35/E35,0)</f>
        <v>0</v>
      </c>
      <c r="I35" s="8"/>
      <c r="J35" s="2"/>
    </row>
    <row r="36" customFormat="false" ht="14.25" hidden="false" customHeight="false" outlineLevel="0" collapsed="false">
      <c r="A36" s="2" t="n">
        <v>35</v>
      </c>
      <c r="B36" s="3"/>
      <c r="C36" s="3"/>
      <c r="D36" s="3"/>
      <c r="E36" s="4"/>
      <c r="F36" s="4"/>
      <c r="G36" s="4"/>
      <c r="H36" s="5" t="n">
        <f aca="false">IF(E36&gt;0,F36/E36,0)</f>
        <v>0</v>
      </c>
      <c r="I36" s="6"/>
      <c r="J36" s="2"/>
    </row>
    <row r="37" customFormat="false" ht="14.25" hidden="false" customHeight="false" outlineLevel="0" collapsed="false">
      <c r="A37" s="2" t="n">
        <v>36</v>
      </c>
      <c r="B37" s="3"/>
      <c r="C37" s="3"/>
      <c r="D37" s="3"/>
      <c r="E37" s="4"/>
      <c r="F37" s="4"/>
      <c r="G37" s="4"/>
      <c r="H37" s="5" t="n">
        <f aca="false">IF(E37&gt;0,F37/E37,0)</f>
        <v>0</v>
      </c>
      <c r="I37" s="6"/>
      <c r="J37" s="2"/>
    </row>
    <row r="38" customFormat="false" ht="14.25" hidden="false" customHeight="false" outlineLevel="0" collapsed="false">
      <c r="A38" s="2" t="n">
        <v>37</v>
      </c>
      <c r="B38" s="3"/>
      <c r="C38" s="3"/>
      <c r="D38" s="3"/>
      <c r="E38" s="4"/>
      <c r="F38" s="4"/>
      <c r="G38" s="4"/>
      <c r="H38" s="5" t="n">
        <f aca="false">IF(E38&gt;0,F38/E38,0)</f>
        <v>0</v>
      </c>
      <c r="I38" s="6"/>
      <c r="J38" s="2"/>
    </row>
    <row r="39" customFormat="false" ht="14.25" hidden="false" customHeight="false" outlineLevel="0" collapsed="false">
      <c r="A39" s="2" t="n">
        <v>38</v>
      </c>
      <c r="B39" s="3"/>
      <c r="C39" s="3"/>
      <c r="D39" s="3"/>
      <c r="E39" s="4"/>
      <c r="F39" s="4"/>
      <c r="G39" s="4"/>
      <c r="H39" s="5" t="n">
        <f aca="false">IF(E39&gt;0,F39/E39,0)</f>
        <v>0</v>
      </c>
      <c r="I39" s="8"/>
      <c r="J39" s="2"/>
    </row>
    <row r="40" customFormat="false" ht="14.25" hidden="false" customHeight="false" outlineLevel="0" collapsed="false">
      <c r="A40" s="2" t="n">
        <v>39</v>
      </c>
      <c r="B40" s="3"/>
      <c r="C40" s="3"/>
      <c r="D40" s="3"/>
      <c r="E40" s="4"/>
      <c r="F40" s="4"/>
      <c r="G40" s="4"/>
      <c r="H40" s="5" t="n">
        <f aca="false">IF(E40&gt;0,F40/E40,0)</f>
        <v>0</v>
      </c>
      <c r="I40" s="6"/>
      <c r="J40" s="2"/>
    </row>
    <row r="41" customFormat="false" ht="14.25" hidden="false" customHeight="false" outlineLevel="0" collapsed="false">
      <c r="A41" s="2" t="n">
        <v>40</v>
      </c>
      <c r="B41" s="3"/>
      <c r="C41" s="3"/>
      <c r="D41" s="3"/>
      <c r="E41" s="4"/>
      <c r="F41" s="4"/>
      <c r="G41" s="4"/>
      <c r="H41" s="5" t="n">
        <f aca="false">IF(E41&gt;0,F41/E41,0)</f>
        <v>0</v>
      </c>
      <c r="I41" s="8"/>
      <c r="J41" s="2"/>
    </row>
    <row r="42" customFormat="false" ht="14.25" hidden="false" customHeight="false" outlineLevel="0" collapsed="false">
      <c r="A42" s="2" t="n">
        <v>41</v>
      </c>
      <c r="B42" s="3"/>
      <c r="C42" s="3"/>
      <c r="D42" s="3"/>
      <c r="E42" s="4"/>
      <c r="F42" s="4"/>
      <c r="G42" s="4"/>
      <c r="H42" s="5" t="n">
        <f aca="false">IF(E42&gt;0,F42/E42,0)</f>
        <v>0</v>
      </c>
      <c r="I42" s="6"/>
      <c r="J42" s="2"/>
    </row>
    <row r="43" customFormat="false" ht="14.25" hidden="false" customHeight="false" outlineLevel="0" collapsed="false">
      <c r="A43" s="2" t="n">
        <v>42</v>
      </c>
      <c r="B43" s="3"/>
      <c r="C43" s="3"/>
      <c r="D43" s="3"/>
      <c r="E43" s="4"/>
      <c r="F43" s="4"/>
      <c r="G43" s="4"/>
      <c r="H43" s="5" t="n">
        <f aca="false">IF(E43&gt;0,F43/E43,0)</f>
        <v>0</v>
      </c>
      <c r="I43" s="8"/>
      <c r="J43" s="2"/>
    </row>
    <row r="44" customFormat="false" ht="14.25" hidden="false" customHeight="false" outlineLevel="0" collapsed="false">
      <c r="A44" s="2" t="n">
        <v>43</v>
      </c>
      <c r="B44" s="3"/>
      <c r="C44" s="3"/>
      <c r="D44" s="3"/>
      <c r="E44" s="4"/>
      <c r="F44" s="4"/>
      <c r="G44" s="4"/>
      <c r="H44" s="5" t="n">
        <f aca="false">IF(E44&gt;0,F44/E44,0)</f>
        <v>0</v>
      </c>
      <c r="I44" s="8"/>
      <c r="J44" s="2"/>
    </row>
    <row r="45" customFormat="false" ht="14.25" hidden="false" customHeight="false" outlineLevel="0" collapsed="false">
      <c r="A45" s="2" t="n">
        <v>44</v>
      </c>
      <c r="B45" s="3"/>
      <c r="C45" s="3"/>
      <c r="D45" s="3"/>
      <c r="E45" s="4"/>
      <c r="F45" s="4"/>
      <c r="G45" s="4"/>
      <c r="H45" s="5" t="n">
        <f aca="false">IF(E45&gt;0,F45/E45,0)</f>
        <v>0</v>
      </c>
      <c r="I45" s="6"/>
      <c r="J45" s="2"/>
    </row>
    <row r="46" customFormat="false" ht="14.25" hidden="false" customHeight="false" outlineLevel="0" collapsed="false">
      <c r="A46" s="2" t="n">
        <v>45</v>
      </c>
      <c r="B46" s="3"/>
      <c r="C46" s="3"/>
      <c r="D46" s="3"/>
      <c r="E46" s="4"/>
      <c r="F46" s="4"/>
      <c r="G46" s="4"/>
      <c r="H46" s="5" t="n">
        <f aca="false">IF(E46&gt;0,F46/E46,0)</f>
        <v>0</v>
      </c>
      <c r="I46" s="6"/>
      <c r="J46" s="2"/>
    </row>
  </sheetData>
  <mergeCells count="16">
    <mergeCell ref="C4:C8"/>
    <mergeCell ref="D4:D8"/>
    <mergeCell ref="E4:E8"/>
    <mergeCell ref="F4:F8"/>
    <mergeCell ref="G4:G8"/>
    <mergeCell ref="H4:H8"/>
    <mergeCell ref="I4:I8"/>
    <mergeCell ref="J4:J8"/>
    <mergeCell ref="C9:C12"/>
    <mergeCell ref="D9:D12"/>
    <mergeCell ref="E9:E12"/>
    <mergeCell ref="F9:F12"/>
    <mergeCell ref="G9:G12"/>
    <mergeCell ref="H9:H12"/>
    <mergeCell ref="I9:I12"/>
    <mergeCell ref="J9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328125" defaultRowHeight="14.25" zeroHeight="false" outlineLevelRow="0" outlineLevelCol="0"/>
  <cols>
    <col collapsed="false" customWidth="true" hidden="false" outlineLevel="0" max="5" min="1" style="0" width="18"/>
  </cols>
  <sheetData>
    <row r="1" customFormat="false" ht="14.25" hidden="false" customHeight="false" outlineLevel="0" collapsed="false">
      <c r="A1" s="1" t="s">
        <v>31</v>
      </c>
      <c r="B1" s="1" t="s">
        <v>5</v>
      </c>
      <c r="C1" s="1" t="s">
        <v>6</v>
      </c>
      <c r="D1" s="1" t="s">
        <v>7</v>
      </c>
      <c r="E1" s="1" t="s">
        <v>32</v>
      </c>
    </row>
    <row r="2" customFormat="false" ht="15" hidden="false" customHeight="false" outlineLevel="0" collapsed="false">
      <c r="A2" s="9" t="n">
        <f aca="false">SUM(Liste_des_taches!E2:E46)</f>
        <v>100</v>
      </c>
      <c r="B2" s="9" t="n">
        <f aca="false">SUM(Liste_des_taches!F2:F46)</f>
        <v>0</v>
      </c>
      <c r="C2" s="9" t="n">
        <f aca="false">SUM(Liste_des_taches!G2:G46)</f>
        <v>70</v>
      </c>
      <c r="D2" s="10" t="n">
        <f aca="false">IF(A2&gt;0,B2/A2,0)</f>
        <v>0</v>
      </c>
      <c r="E2" s="11" t="n">
        <f aca="false">A2/60</f>
        <v>1.66666666666667</v>
      </c>
    </row>
    <row r="4" customFormat="false" ht="14.25" hidden="false" customHeight="false" outlineLevel="0" collapsed="false">
      <c r="A4" s="12" t="s">
        <v>33</v>
      </c>
      <c r="B4" s="13" t="n">
        <f aca="false">IF(B2&gt;A2,(B2-A2)/A2,0)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</cols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</row>
    <row r="2" customFormat="false" ht="14.25" hidden="false" customHeight="false" outlineLevel="0" collapsed="false">
      <c r="A2" s="2" t="n">
        <v>1</v>
      </c>
      <c r="B2" s="2" t="n">
        <v>0</v>
      </c>
      <c r="C2" s="2" t="n">
        <v>0</v>
      </c>
      <c r="D2" s="2" t="n">
        <v>0</v>
      </c>
    </row>
    <row r="3" customFormat="false" ht="14.25" hidden="false" customHeight="false" outlineLevel="0" collapsed="false">
      <c r="A3" s="2" t="n">
        <v>2</v>
      </c>
      <c r="B3" s="2" t="n">
        <v>0</v>
      </c>
      <c r="C3" s="2" t="n">
        <v>0</v>
      </c>
      <c r="D3" s="2" t="n">
        <v>0</v>
      </c>
    </row>
    <row r="4" customFormat="false" ht="14.25" hidden="false" customHeight="false" outlineLevel="0" collapsed="false">
      <c r="A4" s="2" t="n">
        <v>3</v>
      </c>
      <c r="B4" s="2" t="n">
        <v>0</v>
      </c>
      <c r="C4" s="2" t="n">
        <v>0</v>
      </c>
      <c r="D4" s="2" t="n">
        <v>0</v>
      </c>
    </row>
    <row r="5" customFormat="false" ht="14.25" hidden="false" customHeight="false" outlineLevel="0" collapsed="false">
      <c r="A5" s="2" t="n">
        <v>4</v>
      </c>
      <c r="B5" s="2" t="n">
        <v>0</v>
      </c>
      <c r="C5" s="2" t="n">
        <v>0</v>
      </c>
      <c r="D5" s="2" t="n">
        <v>0</v>
      </c>
    </row>
    <row r="6" customFormat="false" ht="14.25" hidden="false" customHeight="false" outlineLevel="0" collapsed="false">
      <c r="A6" s="2" t="n">
        <v>5</v>
      </c>
      <c r="B6" s="2" t="n">
        <v>0</v>
      </c>
      <c r="C6" s="2" t="n">
        <v>0</v>
      </c>
      <c r="D6" s="2" t="n">
        <v>0</v>
      </c>
    </row>
    <row r="7" customFormat="false" ht="14.25" hidden="false" customHeight="false" outlineLevel="0" collapsed="false">
      <c r="A7" s="2" t="n">
        <v>6</v>
      </c>
      <c r="B7" s="2" t="n">
        <v>0</v>
      </c>
      <c r="C7" s="2" t="n">
        <v>0</v>
      </c>
      <c r="D7" s="2" t="n">
        <v>0</v>
      </c>
    </row>
    <row r="8" customFormat="false" ht="14.25" hidden="false" customHeight="false" outlineLevel="0" collapsed="false">
      <c r="A8" s="2" t="n">
        <v>7</v>
      </c>
      <c r="B8" s="2" t="n">
        <v>0</v>
      </c>
      <c r="C8" s="2" t="n">
        <v>0</v>
      </c>
      <c r="D8" s="2" t="n">
        <v>0</v>
      </c>
    </row>
    <row r="9" customFormat="false" ht="14.25" hidden="false" customHeight="false" outlineLevel="0" collapsed="false">
      <c r="A9" s="2" t="n">
        <v>8</v>
      </c>
      <c r="B9" s="2" t="n">
        <v>0</v>
      </c>
      <c r="C9" s="2" t="n">
        <v>0</v>
      </c>
      <c r="D9" s="2" t="n">
        <v>0</v>
      </c>
    </row>
    <row r="10" customFormat="false" ht="14.25" hidden="false" customHeight="false" outlineLevel="0" collapsed="false">
      <c r="A10" s="2" t="n">
        <v>9</v>
      </c>
      <c r="B10" s="2" t="n">
        <v>0</v>
      </c>
      <c r="C10" s="2" t="n">
        <v>0</v>
      </c>
      <c r="D10" s="2" t="n">
        <v>0</v>
      </c>
    </row>
    <row r="11" customFormat="false" ht="14.25" hidden="false" customHeight="false" outlineLevel="0" collapsed="false">
      <c r="A11" s="2" t="n">
        <v>10</v>
      </c>
      <c r="B11" s="2" t="n">
        <v>0</v>
      </c>
      <c r="C11" s="2" t="n">
        <v>0</v>
      </c>
      <c r="D11" s="2" t="n">
        <v>0</v>
      </c>
    </row>
    <row r="12" customFormat="false" ht="14.25" hidden="false" customHeight="false" outlineLevel="0" collapsed="false">
      <c r="A12" s="2" t="n">
        <v>11</v>
      </c>
      <c r="B12" s="2" t="n">
        <v>0</v>
      </c>
      <c r="C12" s="2" t="n">
        <v>0</v>
      </c>
      <c r="D12" s="2" t="n">
        <v>0</v>
      </c>
    </row>
    <row r="13" customFormat="false" ht="14.25" hidden="false" customHeight="false" outlineLevel="0" collapsed="false">
      <c r="A13" s="2" t="n">
        <v>12</v>
      </c>
      <c r="B13" s="2" t="n">
        <v>0</v>
      </c>
      <c r="C13" s="2" t="n">
        <v>0</v>
      </c>
      <c r="D13" s="2" t="n">
        <v>0</v>
      </c>
    </row>
    <row r="14" customFormat="false" ht="14.25" hidden="false" customHeight="false" outlineLevel="0" collapsed="false">
      <c r="A14" s="2" t="n">
        <v>13</v>
      </c>
      <c r="B14" s="2" t="n">
        <v>0</v>
      </c>
      <c r="C14" s="2" t="n">
        <v>0</v>
      </c>
      <c r="D14" s="2" t="n">
        <v>0</v>
      </c>
    </row>
    <row r="15" customFormat="false" ht="14.25" hidden="false" customHeight="false" outlineLevel="0" collapsed="false">
      <c r="A15" s="2" t="n">
        <v>14</v>
      </c>
      <c r="B15" s="2" t="n">
        <v>0</v>
      </c>
      <c r="C15" s="2" t="n">
        <v>0</v>
      </c>
      <c r="D15" s="2" t="n">
        <v>0</v>
      </c>
    </row>
    <row r="16" customFormat="false" ht="14.25" hidden="false" customHeight="false" outlineLevel="0" collapsed="false">
      <c r="A16" s="2" t="n">
        <v>15</v>
      </c>
      <c r="B16" s="2" t="n">
        <v>0</v>
      </c>
      <c r="C16" s="2" t="n">
        <v>0</v>
      </c>
      <c r="D16" s="2" t="n">
        <v>0</v>
      </c>
    </row>
    <row r="17" customFormat="false" ht="14.25" hidden="false" customHeight="false" outlineLevel="0" collapsed="false">
      <c r="A17" s="2" t="n">
        <v>16</v>
      </c>
      <c r="B17" s="2" t="n">
        <v>0</v>
      </c>
      <c r="C17" s="2" t="n">
        <v>0</v>
      </c>
      <c r="D17" s="2" t="n">
        <v>0</v>
      </c>
    </row>
    <row r="18" customFormat="false" ht="14.25" hidden="false" customHeight="false" outlineLevel="0" collapsed="false">
      <c r="A18" s="2" t="n">
        <v>17</v>
      </c>
      <c r="B18" s="2" t="n">
        <v>0</v>
      </c>
      <c r="C18" s="2" t="n">
        <v>0</v>
      </c>
      <c r="D18" s="2" t="n">
        <v>0</v>
      </c>
    </row>
    <row r="19" customFormat="false" ht="14.25" hidden="false" customHeight="false" outlineLevel="0" collapsed="false">
      <c r="A19" s="2" t="n">
        <v>18</v>
      </c>
      <c r="B19" s="2" t="n">
        <v>0</v>
      </c>
      <c r="C19" s="2" t="n">
        <v>0</v>
      </c>
      <c r="D19" s="2" t="n">
        <v>0</v>
      </c>
    </row>
    <row r="20" customFormat="false" ht="14.25" hidden="false" customHeight="false" outlineLevel="0" collapsed="false">
      <c r="A20" s="2" t="n">
        <v>19</v>
      </c>
      <c r="B20" s="2" t="n">
        <v>0</v>
      </c>
      <c r="C20" s="2" t="n">
        <v>0</v>
      </c>
      <c r="D20" s="2" t="n">
        <v>0</v>
      </c>
    </row>
    <row r="21" customFormat="false" ht="14.25" hidden="false" customHeight="false" outlineLevel="0" collapsed="false">
      <c r="A21" s="2" t="n">
        <v>20</v>
      </c>
      <c r="B21" s="2" t="n">
        <v>0</v>
      </c>
      <c r="C21" s="2" t="n">
        <v>0</v>
      </c>
      <c r="D21" s="2" t="n">
        <v>0</v>
      </c>
    </row>
    <row r="22" customFormat="false" ht="14.25" hidden="false" customHeight="false" outlineLevel="0" collapsed="false">
      <c r="A22" s="2" t="n">
        <v>21</v>
      </c>
      <c r="B22" s="2" t="n">
        <v>0</v>
      </c>
      <c r="C22" s="2" t="n">
        <v>0</v>
      </c>
      <c r="D22" s="2" t="n">
        <v>0</v>
      </c>
    </row>
    <row r="23" customFormat="false" ht="14.25" hidden="false" customHeight="false" outlineLevel="0" collapsed="false">
      <c r="A23" s="2" t="n">
        <v>22</v>
      </c>
      <c r="B23" s="2" t="n">
        <v>0</v>
      </c>
      <c r="C23" s="2" t="n">
        <v>0</v>
      </c>
      <c r="D23" s="2" t="n">
        <v>0</v>
      </c>
    </row>
    <row r="24" customFormat="false" ht="14.25" hidden="false" customHeight="false" outlineLevel="0" collapsed="false">
      <c r="A24" s="2" t="n">
        <v>23</v>
      </c>
      <c r="B24" s="2" t="n">
        <v>0</v>
      </c>
      <c r="C24" s="2" t="n">
        <v>0</v>
      </c>
      <c r="D24" s="2" t="n">
        <v>0</v>
      </c>
    </row>
    <row r="25" customFormat="false" ht="14.25" hidden="false" customHeight="false" outlineLevel="0" collapsed="false">
      <c r="A25" s="2" t="n">
        <v>24</v>
      </c>
      <c r="B25" s="2" t="n">
        <v>0</v>
      </c>
      <c r="C25" s="2" t="n">
        <v>0</v>
      </c>
      <c r="D25" s="2" t="n">
        <v>0</v>
      </c>
    </row>
    <row r="26" customFormat="false" ht="14.25" hidden="false" customHeight="false" outlineLevel="0" collapsed="false">
      <c r="A26" s="2" t="n">
        <v>25</v>
      </c>
      <c r="B26" s="2" t="n">
        <v>0</v>
      </c>
      <c r="C26" s="2" t="n">
        <v>0</v>
      </c>
      <c r="D26" s="2" t="n">
        <v>0</v>
      </c>
    </row>
    <row r="27" customFormat="false" ht="14.25" hidden="false" customHeight="false" outlineLevel="0" collapsed="false">
      <c r="A27" s="2" t="n">
        <v>26</v>
      </c>
      <c r="B27" s="2" t="n">
        <v>0</v>
      </c>
      <c r="C27" s="2" t="n">
        <v>0</v>
      </c>
      <c r="D27" s="2" t="n">
        <v>0</v>
      </c>
    </row>
    <row r="28" customFormat="false" ht="14.25" hidden="false" customHeight="false" outlineLevel="0" collapsed="false">
      <c r="A28" s="2" t="n">
        <v>27</v>
      </c>
      <c r="B28" s="2" t="n">
        <v>0</v>
      </c>
      <c r="C28" s="2" t="n">
        <v>0</v>
      </c>
      <c r="D28" s="2" t="n">
        <v>0</v>
      </c>
    </row>
    <row r="29" customFormat="false" ht="14.25" hidden="false" customHeight="false" outlineLevel="0" collapsed="false">
      <c r="A29" s="2" t="n">
        <v>28</v>
      </c>
      <c r="B29" s="2" t="n">
        <v>0</v>
      </c>
      <c r="C29" s="2" t="n">
        <v>0</v>
      </c>
      <c r="D29" s="2" t="n">
        <v>0</v>
      </c>
    </row>
    <row r="30" customFormat="false" ht="14.25" hidden="false" customHeight="false" outlineLevel="0" collapsed="false">
      <c r="A30" s="2" t="n">
        <v>29</v>
      </c>
      <c r="B30" s="2" t="n">
        <v>0</v>
      </c>
      <c r="C30" s="2" t="n">
        <v>0</v>
      </c>
      <c r="D30" s="2" t="n">
        <v>0</v>
      </c>
    </row>
    <row r="31" customFormat="false" ht="14.25" hidden="false" customHeight="false" outlineLevel="0" collapsed="false">
      <c r="A31" s="2" t="n">
        <v>30</v>
      </c>
      <c r="B31" s="2" t="n">
        <v>0</v>
      </c>
      <c r="C31" s="2" t="n">
        <v>0</v>
      </c>
      <c r="D31" s="2" t="n">
        <v>0</v>
      </c>
    </row>
    <row r="32" customFormat="false" ht="14.25" hidden="false" customHeight="false" outlineLevel="0" collapsed="false">
      <c r="A32" s="2" t="n">
        <v>31</v>
      </c>
      <c r="B32" s="2" t="n">
        <v>0</v>
      </c>
      <c r="C32" s="2" t="n">
        <v>0</v>
      </c>
      <c r="D32" s="2" t="n">
        <v>0</v>
      </c>
    </row>
    <row r="33" customFormat="false" ht="14.25" hidden="false" customHeight="false" outlineLevel="0" collapsed="false">
      <c r="A33" s="2" t="n">
        <v>32</v>
      </c>
      <c r="B33" s="2" t="n">
        <v>0</v>
      </c>
      <c r="C33" s="2" t="n">
        <v>0</v>
      </c>
      <c r="D33" s="2" t="n">
        <v>0</v>
      </c>
    </row>
    <row r="34" customFormat="false" ht="14.25" hidden="false" customHeight="false" outlineLevel="0" collapsed="false">
      <c r="A34" s="2" t="n">
        <v>33</v>
      </c>
      <c r="B34" s="2" t="n">
        <v>0</v>
      </c>
      <c r="C34" s="2" t="n">
        <v>0</v>
      </c>
      <c r="D34" s="2" t="n">
        <v>0</v>
      </c>
    </row>
    <row r="35" customFormat="false" ht="14.25" hidden="false" customHeight="false" outlineLevel="0" collapsed="false">
      <c r="A35" s="2" t="n">
        <v>34</v>
      </c>
      <c r="B35" s="2" t="n">
        <v>0</v>
      </c>
      <c r="C35" s="2" t="n">
        <v>0</v>
      </c>
      <c r="D35" s="2" t="n">
        <v>0</v>
      </c>
    </row>
    <row r="36" customFormat="false" ht="14.25" hidden="false" customHeight="false" outlineLevel="0" collapsed="false">
      <c r="A36" s="2" t="n">
        <v>35</v>
      </c>
      <c r="B36" s="2" t="n">
        <v>0</v>
      </c>
      <c r="C36" s="2" t="n">
        <v>0</v>
      </c>
      <c r="D36" s="2" t="n">
        <v>0</v>
      </c>
    </row>
    <row r="37" customFormat="false" ht="14.25" hidden="false" customHeight="false" outlineLevel="0" collapsed="false">
      <c r="A37" s="2" t="n">
        <v>36</v>
      </c>
      <c r="B37" s="2" t="n">
        <v>0</v>
      </c>
      <c r="C37" s="2" t="n">
        <v>0</v>
      </c>
      <c r="D37" s="2" t="n">
        <v>0</v>
      </c>
    </row>
    <row r="38" customFormat="false" ht="14.25" hidden="false" customHeight="false" outlineLevel="0" collapsed="false">
      <c r="A38" s="2" t="n">
        <v>37</v>
      </c>
      <c r="B38" s="2" t="n">
        <v>0</v>
      </c>
      <c r="C38" s="2" t="n">
        <v>0</v>
      </c>
      <c r="D38" s="2" t="n">
        <v>0</v>
      </c>
    </row>
    <row r="39" customFormat="false" ht="14.25" hidden="false" customHeight="false" outlineLevel="0" collapsed="false">
      <c r="A39" s="2" t="n">
        <v>38</v>
      </c>
      <c r="B39" s="2" t="n">
        <v>0</v>
      </c>
      <c r="C39" s="2" t="n">
        <v>0</v>
      </c>
      <c r="D39" s="2" t="n">
        <v>0</v>
      </c>
    </row>
    <row r="40" customFormat="false" ht="14.25" hidden="false" customHeight="false" outlineLevel="0" collapsed="false">
      <c r="A40" s="2" t="n">
        <v>39</v>
      </c>
      <c r="B40" s="2" t="n">
        <v>0</v>
      </c>
      <c r="C40" s="2" t="n">
        <v>0</v>
      </c>
      <c r="D40" s="2" t="n">
        <v>0</v>
      </c>
    </row>
    <row r="41" customFormat="false" ht="14.25" hidden="false" customHeight="false" outlineLevel="0" collapsed="false">
      <c r="A41" s="2" t="n">
        <v>40</v>
      </c>
      <c r="B41" s="2" t="n">
        <v>0</v>
      </c>
      <c r="C41" s="2" t="n">
        <v>0</v>
      </c>
      <c r="D41" s="2" t="n">
        <v>0</v>
      </c>
    </row>
    <row r="42" customFormat="false" ht="14.25" hidden="false" customHeight="false" outlineLevel="0" collapsed="false">
      <c r="A42" s="2" t="n">
        <v>41</v>
      </c>
      <c r="B42" s="2" t="n">
        <v>0</v>
      </c>
      <c r="C42" s="2" t="n">
        <v>0</v>
      </c>
      <c r="D42" s="2" t="n">
        <v>0</v>
      </c>
    </row>
    <row r="43" customFormat="false" ht="14.25" hidden="false" customHeight="false" outlineLevel="0" collapsed="false">
      <c r="A43" s="2" t="n">
        <v>42</v>
      </c>
      <c r="B43" s="2" t="n">
        <v>0</v>
      </c>
      <c r="C43" s="2" t="n">
        <v>0</v>
      </c>
      <c r="D43" s="2" t="n">
        <v>0</v>
      </c>
    </row>
    <row r="44" customFormat="false" ht="14.25" hidden="false" customHeight="false" outlineLevel="0" collapsed="false">
      <c r="A44" s="2" t="n">
        <v>43</v>
      </c>
      <c r="B44" s="2" t="n">
        <v>0</v>
      </c>
      <c r="C44" s="2" t="n">
        <v>0</v>
      </c>
      <c r="D44" s="2" t="n">
        <v>0</v>
      </c>
    </row>
    <row r="45" customFormat="false" ht="14.25" hidden="false" customHeight="false" outlineLevel="0" collapsed="false">
      <c r="A45" s="2" t="n">
        <v>44</v>
      </c>
      <c r="B45" s="2" t="n">
        <v>0</v>
      </c>
      <c r="C45" s="2" t="n">
        <v>0</v>
      </c>
      <c r="D45" s="2" t="n">
        <v>0</v>
      </c>
    </row>
    <row r="46" customFormat="false" ht="14.25" hidden="false" customHeight="false" outlineLevel="0" collapsed="false">
      <c r="A46" s="2" t="n">
        <v>45</v>
      </c>
      <c r="B46" s="2" t="n">
        <v>0</v>
      </c>
      <c r="C46" s="2" t="n">
        <v>0</v>
      </c>
      <c r="D46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22.86"/>
  </cols>
  <sheetData>
    <row r="1" customFormat="false" ht="14.25" hidden="false" customHeight="false" outlineLevel="0" collapsed="false">
      <c r="A1" s="1" t="s">
        <v>7</v>
      </c>
      <c r="B1" s="1" t="s">
        <v>37</v>
      </c>
    </row>
    <row r="2" customFormat="false" ht="14.25" hidden="false" customHeight="false" outlineLevel="0" collapsed="false">
      <c r="A2" s="2" t="s">
        <v>7</v>
      </c>
      <c r="B2" s="13" t="n">
        <f aca="false">Avancement_projet!D2</f>
        <v>0</v>
      </c>
    </row>
    <row r="3" customFormat="false" ht="14.25" hidden="false" customHeight="false" outlineLevel="0" collapsed="false">
      <c r="A3" s="2"/>
      <c r="B3" s="2"/>
    </row>
    <row r="4" customFormat="false" ht="14.25" hidden="false" customHeight="false" outlineLevel="0" collapsed="false">
      <c r="A4" s="14" t="s">
        <v>8</v>
      </c>
      <c r="B4" s="14" t="s">
        <v>38</v>
      </c>
    </row>
    <row r="5" customFormat="false" ht="14.25" hidden="false" customHeight="false" outlineLevel="0" collapsed="false">
      <c r="A5" s="2" t="s">
        <v>27</v>
      </c>
      <c r="B5" s="2" t="n">
        <f aca="false">SUMIF(Liste_des_taches!I:I,"RAKOTO",Liste_des_taches!E:E)</f>
        <v>0</v>
      </c>
    </row>
    <row r="6" customFormat="false" ht="14.25" hidden="false" customHeight="false" outlineLevel="0" collapsed="false">
      <c r="A6" s="2" t="s">
        <v>39</v>
      </c>
      <c r="B6" s="2" t="n">
        <f aca="false">SUMIF(Liste_des_taches!I:I,"RASOA",Liste_des_taches!E:E)</f>
        <v>0</v>
      </c>
    </row>
    <row r="7" customFormat="false" ht="14.25" hidden="false" customHeight="false" outlineLevel="0" collapsed="false">
      <c r="A7" s="15" t="s">
        <v>17</v>
      </c>
      <c r="B7" s="15" t="n">
        <v>100</v>
      </c>
    </row>
    <row r="8" customFormat="false" ht="14.25" hidden="false" customHeight="false" outlineLevel="0" collapsed="false">
      <c r="A8" s="16" t="s">
        <v>34</v>
      </c>
      <c r="B8" s="17" t="n">
        <f aca="false">SUM(B5:B7)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2026-02-16T10:35:13Z</dcterms:created>
  <dc:creator>openpyxl</dc:creator>
  <dc:description/>
  <dc:language>en-US</dc:language>
  <cp:lastModifiedBy/>
  <dcterms:modified xsi:type="dcterms:W3CDTF">2026-02-16T14:41:57Z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